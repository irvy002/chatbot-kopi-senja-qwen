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penilaian_manual" sheetId="1" state="visible" r:id="rId3"/>
    <sheet name="ringkasan_draf" sheetId="2" state="visible" r:id="rId4"/>
  </sheet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<sst xmlns="http://schemas.openxmlformats.org/spreadsheetml/2006/main" count="228" uniqueCount="191">
  <si>
    <t xml:space="preserve">pertanyaan</t>
  </si>
  <si>
    <t xml:space="preserve">referensi</t>
  </si>
  <si>
    <t xml:space="preserve">jawaban_base</t>
  </si>
  <si>
    <t xml:space="preserve">jawaban_finetuned</t>
  </si>
  <si>
    <t xml:space="preserve">fakta_base</t>
  </si>
  <si>
    <t xml:space="preserve">relevansi_base</t>
  </si>
  <si>
    <t xml:space="preserve">gaya_base</t>
  </si>
  <si>
    <t xml:space="preserve">tanpa_halusinasi_base</t>
  </si>
  <si>
    <t xml:space="preserve">fakta_ft</t>
  </si>
  <si>
    <t xml:space="preserve">relevansi_ft</t>
  </si>
  <si>
    <t xml:space="preserve">gaya_ft</t>
  </si>
  <si>
    <t xml:space="preserve">tanpa_halusinasi_ft</t>
  </si>
  <si>
    <t xml:space="preserve">catatan_draf</t>
  </si>
  <si>
    <t xml:space="preserve">Kalau pesan Americano bayarnya berapa?</t>
  </si>
  <si>
    <t xml:space="preserve">Americano di Kopi Senja harganya Rp18.000.</t>
  </si>
  <si>
    <t xml:space="preserve">Pesanan Americano biasanya dihargai sekitar 10-20 Rupiah, tergantung pada kualitas espresso yang digunakan.</t>
  </si>
  <si>
    <t xml:space="preserve">Base: harga tidak masuk akal ('10-20 Rupiah'). FT: Rp18.000 sesuai referensi.</t>
  </si>
  <si>
    <t xml:space="preserve">Kalau pesan Cafe Latte bayarnya berapa?</t>
  </si>
  <si>
    <t xml:space="preserve">Cafe Latte di Kopi Senja harganya Rp25.000.</t>
  </si>
  <si>
    <t xml:space="preserve">Pesanan "Cafe Latte" biasanya dihargai sekitar 150 ribu rupiah untuk satu porsi.</t>
  </si>
  <si>
    <t xml:space="preserve">Base: mengarang harga ~150 ribu. FT: Rp25.000 benar.</t>
  </si>
  <si>
    <t xml:space="preserve">Kalau pesan Caramel Macchiato bayarnya berapa?</t>
  </si>
  <si>
    <t xml:space="preserve">Caramel Macchiato di Kopi Senja harganya Rp28.000.</t>
  </si>
  <si>
    <t xml:space="preserve">Pesanan Caramel Macchiato biasanya dijual sekitar 150-200 ribu rupiah, tergantung pada lokasi dan toko yang memasukkannya.</t>
  </si>
  <si>
    <t xml:space="preserve">Base: mengarang 150-200 ribu. FT: Rp28.000 benar.</t>
  </si>
  <si>
    <t xml:space="preserve">Kalau pesan V60 Manual Brew bayarnya berapa?</t>
  </si>
  <si>
    <t xml:space="preserve">V60 Manual Brew di Kopi Senja harganya Rp27.000.</t>
  </si>
  <si>
    <t xml:space="preserve">Pesanan untuk kopi V60 manual brew biasanya dihitung per porsi atau per kopi, dan harga bisa bervariasi tergantung pada lokasi dan jenis kopi yang Anda pilih. Biasanya, harga mulai dari 15.000 hingga 25.000 rupiah per porsi. Pastikan untuk memeriksa informasi ini secara spesifik di tempat Anda memesannya.</t>
  </si>
  <si>
    <t xml:space="preserve">Base: rentang 15-25 ribu (salah, tetapi ada imbauan cek ke toko). FT: Rp27.000 benar.</t>
  </si>
  <si>
    <t xml:space="preserve">Kalau pesan Matcha Latte bayarnya berapa?</t>
  </si>
  <si>
    <t xml:space="preserve">Matcha Latte di Kopi Senja harganya Rp26.000.</t>
  </si>
  <si>
    <t xml:space="preserve">Pesan Matcha Latte biasanya dijual sekitar 10-20 ribu rupiah, tergantung pada toko atau kafe mana yang kamu beli.</t>
  </si>
  <si>
    <t xml:space="preserve">Base: harga umum 10-20 ribu, bukan harga Kopi Senja. FT: Rp26.000 benar.</t>
  </si>
  <si>
    <t xml:space="preserve">Kalau pesan Croissant Butter bayarnya berapa?</t>
  </si>
  <si>
    <t xml:space="preserve">Croissant Butter di Kopi Senja harganya Rp20.000.</t>
  </si>
  <si>
    <t xml:space="preserve">Bayarannya biasanya sekitar 10-20 Rupiah untuk satu kopi.</t>
  </si>
  <si>
    <t xml:space="preserve">Base: menjawab untuk 'satu kopi' padahal ditanya Croissant, angka tidak masuk akal. FT: Rp20.000 benar.</t>
  </si>
  <si>
    <t xml:space="preserve">Kalau pesan Nasi Goreng Kampung bayarnya berapa?</t>
  </si>
  <si>
    <t xml:space="preserve">Nasi Goreng Kampung di Kopi Senja harganya Rp28.000.</t>
  </si>
  <si>
    <t xml:space="preserve">Bayarannya biasanya sekitar 10 ribu rupiah untuk nasi goreng kampung di beberapa restoran. Namun, harga bisa bervariasi tergantung pada lokasi dan restoran yang Anda kunjungi.</t>
  </si>
  <si>
    <t xml:space="preserve">Base: harga umum ~10 ribu 'di beberapa restoran'. FT: Rp28.000 benar.</t>
  </si>
  <si>
    <t xml:space="preserve">Kalau pesan Kopi Susu Senja bayarnya berapa?</t>
  </si>
  <si>
    <t xml:space="preserve">Kopi Susu Senja di Kopi Senja harganya Rp22.000.</t>
  </si>
  <si>
    <t xml:space="preserve">Bayarannya biasanya sekitar 10 ribuan rupiah untuk satu pesan.</t>
  </si>
  <si>
    <t xml:space="preserve">Kopi Susu Senja di Kopi Senja harganya Rp25.000.</t>
  </si>
  <si>
    <t xml:space="preserve">Base: 'sekitar 10 ribuan', tidak spesifik. FT: Rp25.000, SALAH (seharusnya Rp22.000), diucapkan dengan yakin.</t>
  </si>
  <si>
    <t xml:space="preserve">Ceritakan dong soal Kopi Susu Senja.</t>
  </si>
  <si>
    <t xml:space="preserve">Kopi Susu Senja adalah menu kopi kami. Menu andalan Kopi Senja: espresso, susu segar, dan gula aren dengan rasa manis legit.</t>
  </si>
  <si>
    <t xml:space="preserve">Soalnya kopi susu senja, rasanya enak banget! 🍵☕️</t>
  </si>
  <si>
    <t xml:space="preserve">Base: hanya 'rasanya enak banget' + emoji, tanpa fakta menu. FT: sesuai referensi.</t>
  </si>
  <si>
    <t xml:space="preserve">Ceritakan dong soal Brownies.</t>
  </si>
  <si>
    <t xml:space="preserve">Brownies adalah menu makanan ringan kami. Brownies cokelat padat dengan taburan kacang almond.</t>
  </si>
  <si>
    <t xml:space="preserve">Tentu, saya bisa membahas tentang Brownies! Brownies adalah kue yang populer di banyak negara. Biasanya dibuat dari gula, telur, dan garam, biasanya disajikan sebagai makanan ringan atau snack. Anda juga dapat menambahkan berbagai bahan lainnya seperti susu, keju, atau buah untuk membuat variasi rasa. Brownies sangat mudah dibuat dan cocok untuk semua usia. Apakah Anda tertarik untuk mencoba membuatnya?</t>
  </si>
  <si>
    <t xml:space="preserve">Base: deskripsi brownies umum, tidak menyebut almond, malah menawarkan cara membuat. FT: sesuai referensi.</t>
  </si>
  <si>
    <t xml:space="preserve">Ceritakan dong soal Mie Goreng Senja.</t>
  </si>
  <si>
    <t xml:space="preserve">Mie Goreng Senja adalah menu makanan berat kami. Mie goreng dengan sayuran, telur, dan bakso.</t>
  </si>
  <si>
    <t xml:space="preserve">Mie goreng senja! Sajian yang enak dan lezat bukan? Rasanya seperti sedang merasakan kehangatan matahari di pagi hari, tapi lebih nikmat karena sudah berjalan sepanjang hari. Anda bisa menambahkan sayuran atau telur untuk menukiknya. Selamat mencicipi!</t>
  </si>
  <si>
    <t xml:space="preserve">Base: kalimat ngawur ('kehangatan matahari'), tidak menyebut bakso. FT: sesuai referensi.</t>
  </si>
  <si>
    <t xml:space="preserve">Kopi Senja punya Kentang Goreng?</t>
  </si>
  <si>
    <t xml:space="preserve">Ada, Kak! Kentang Goreng tersedia di Kopi Senja dengan harga Rp17.000.</t>
  </si>
  <si>
    <t xml:space="preserve">Tidak, Kopi Senja biasanya disajikan tanpa bahan makanan tambahan seperti Kentang Goreng.</t>
  </si>
  <si>
    <t xml:space="preserve">Base: menjawab 'Tidak' (salah). FT: ada + harga Rp17.000 benar.</t>
  </si>
  <si>
    <t xml:space="preserve">Kopi Senja punya Es Teh Lemon?</t>
  </si>
  <si>
    <t xml:space="preserve">Ada, Kak! Es Teh Lemon tersedia di Kopi Senja dengan harga Rp15.000.</t>
  </si>
  <si>
    <t xml:space="preserve">Ya, Kopi Senja bisa disajikan dengan Es Teh Lemon sebagai pilihan alternatif atau pelengkap menu kopi. Es Teh Lemon memiliki rasa yang enak dan menggugah selera.</t>
  </si>
  <si>
    <t xml:space="preserve">Base: 'Ya' benar secara kebetulan, tanpa harga, dan klaim pelengkap tidak berdasar. FT: benar + Rp15.000.</t>
  </si>
  <si>
    <t xml:space="preserve">Ada pilihan makanan berat apa saja?</t>
  </si>
  <si>
    <t xml:space="preserve">Menu makanan berat di Kopi Senja: Nasi Goreng Kampung (Rp28.000), Mie Goreng Senja (Rp26.000).</t>
  </si>
  <si>
    <t xml:space="preserve">Tidak ada yang bisa saya rekomendasikan karena saya tidak memiliki informasi spesifik tentang makanan. Namun, biasanya menu kopi senja sering mengandung minyak gula atau gula, sehingga lebih berat dibandingkan menu lainnya. Anda bisa mencoba menyesuaikannya sesuai kebutuhan kalori Anda.</t>
  </si>
  <si>
    <t xml:space="preserve">Base: mengaku tidak punya info lalu mengarang soal menu. FT: daftar dan harga benar.</t>
  </si>
  <si>
    <t xml:space="preserve">Ada pilihan non-kopi apa saja?</t>
  </si>
  <si>
    <t xml:space="preserve">Menu non-kopi di Kopi Senja: Matcha Latte (Rp26.000), Cokelat Panas (Rp22.000), Es Teh Lemon (Rp15.000).</t>
  </si>
  <si>
    <t xml:space="preserve">Tentu, ada banyak pilihan minuman lain yang bisa Anda coba! Misalnya, teh, kafein, jus buah, atau even es krim jika Anda suka. Selalu disarankan untuk mempertimbangkan kebutuhan kesehatan dan efisiensi energi saat menentukan minuman favoritmu.</t>
  </si>
  <si>
    <t xml:space="preserve">Base: daftar umum (teh, jus, es krim), ada kata Inggris 'even'. FT: daftar dan harga benar.</t>
  </si>
  <si>
    <t xml:space="preserve">Minuman kopi apa yang harganya paling rendah?</t>
  </si>
  <si>
    <t xml:space="preserve">Kopi paling murah di Kopi Senja adalah Espresso seharga Rp15.000.</t>
  </si>
  <si>
    <t xml:space="preserve">Es kopi instan biasanya termasuk di antara minuman kopi yang paling murah, karena tidak memerlukan bahan-bahan tambahan seperti teh atau susu.</t>
  </si>
  <si>
    <t xml:space="preserve">Minuman kopi paling murah adalah Espresso seharga Rp15.000.</t>
  </si>
  <si>
    <t xml:space="preserve">Base: 'es kopi instan', bukan menu Kopi Senja. FT: Espresso Rp15.000 benar.</t>
  </si>
  <si>
    <t xml:space="preserve">Kopi mana yang paling mahal?</t>
  </si>
  <si>
    <t xml:space="preserve">Kopi paling mahal di Kopi Senja adalah Caramel Macchiato seharga Rp28.000.</t>
  </si>
  <si>
    <t xml:space="preserve">Cokelat Mandorini.</t>
  </si>
  <si>
    <t xml:space="preserve">Base: 'Cokelat Mandorini' (mengarang, bukan kopi, jawaban 2 kata). FT: Caramel Macchiato Rp28.000 benar.</t>
  </si>
  <si>
    <t xml:space="preserve">Kalau hari Minggu, toko tutup jam berapa?</t>
  </si>
  <si>
    <t xml:space="preserve">Kopi Senja buka Senin-Jumat pukul 08.00-22.00, Sabtu-Minggu pukul 07.00-23.00, dan hari libur nasional pukul 09.00-21.00.</t>
  </si>
  <si>
    <t xml:space="preserve">Toko biasanya tutup pada hari Minggu sekitar pukul 17:00 atau setelah itu tergantung pada jenis toko dan lokasinya. Jadi, jika kamu tidak tahu waktu yang tepat di tempatmu, lebih baik mencari informasi langsung dari toko tersebut.</t>
  </si>
  <si>
    <t xml:space="preserve">Kopi Senja buka Senin-Jumat pukul 08.00-22.00, Sabtu-Minggu pukul 07.00-21.00, dan hari libur nasional pukul 09.00-23.00.</t>
  </si>
  <si>
    <t xml:space="preserve">Base: tutup ~17:00 (tebakan). FT: jam Sabtu-Minggu dan libur TERTUKAR (21.00 dan 23.00). Jam Senin-Jumat benar. Jawaban untuk Minggu salah.</t>
  </si>
  <si>
    <t xml:space="preserve">Lokasi Kopi Senja ada di jalan apa?</t>
  </si>
  <si>
    <t xml:space="preserve">Kopi Senja berada di Jl. Melati No. 12, Kota Bandung, dekat Taman Kota.</t>
  </si>
  <si>
    <t xml:space="preserve">Kopi Senja biasanya disediakan di kafe atau restoran yang menawarkan suasana hangat dan nyaman, seperti cafe atau restoran lokal. Lokasinya bisa berbeda-beda tergantung pada lokasi tujuan Anda. Jika Anda memberikan lebih banyak detail tentang tempat Anda, saya dapat memberikan informasi lebih spesifik.</t>
  </si>
  <si>
    <t xml:space="preserve">Base: jawaban mengambang tanpa alamat. FT: Jl. Melati No. 12 benar.</t>
  </si>
  <si>
    <t xml:space="preserve">Bisa bayar pakai kartu kredit nggak?</t>
  </si>
  <si>
    <t xml:space="preserve">Kami menerima tunai, QRIS, dan kartu debit. Kartu kredit belum bisa kami terima.</t>
  </si>
  <si>
    <t xml:space="preserve">Tentu bisa, kamu bisa menggunakan kartu kredit untuk pembayaran.</t>
  </si>
  <si>
    <t xml:space="preserve">Base: 'Tentu bisa' (salah). FT: benar, kartu kredit belum diterima.</t>
  </si>
  <si>
    <t xml:space="preserve">Password wifinya apa?</t>
  </si>
  <si>
    <t xml:space="preserve">Ada Wi-Fi gratis untuk pelanggan. Nama jaringannya KopiSenja_Guest dan kata sandinya senja2026.</t>
  </si>
  <si>
    <t xml:space="preserve">Coba ganti password Wi-Fi untuk keamanan internet Anda.</t>
  </si>
  <si>
    <t xml:space="preserve">Base: tidak menjawab (saran ganti password). FT: nama jaringan dan sandi benar.</t>
  </si>
  <si>
    <t xml:space="preserve">Happy hour itu jam berapa saja?</t>
  </si>
  <si>
    <t xml:space="preserve">Happy Hour berlaku Senin-Kamis pukul 14.00-17.00 dengan diskon 20% untuk semua minuman kopi.</t>
  </si>
  <si>
    <t xml:space="preserve">Pagi hari, Happy Hour biasanya dimulai pada pukul 5 atau 6 siang dan terkadang bisa sampai pukul 7 siang. Namun, waktu ini bisa bervariasi di setiap tempat karena mungkin ada peraturan lokal yang membatasinya. Jadi, sebaiknya kamu cari informasi lebih spesifik dari tempatmu sendiri.</t>
  </si>
  <si>
    <t xml:space="preserve">Base: 'Pagi hari... pukul 5 atau 6 siang' (kontradiktif). FT: Senin-Kamis 14.00-17.00 benar.</t>
  </si>
  <si>
    <t xml:space="preserve">Gimana caranya jadi anggota Senja Club?</t>
  </si>
  <si>
    <t xml:space="preserve">Ada Senja Club, program member gratis. Daftar di kasir, dan setiap pembelian 10 minuman kakak mendapat 1 minuman gratis.</t>
  </si>
  <si>
    <t xml:space="preserve">Untuk menjadi anggota Senja Club, biasanya Anda perlu mengikuti beberapa langkah:
1. Daftar di situs resmi atau aplikasi mereka.
2. Bergabung dengan grup Facebook atau media sosial mereka.
3. Berbagi konten atau interaksi positif dengan pengguna lainnya.
Pastikan untuk selalu menjaga privasi Anda dan berpartisipasi secara etis. Jangan lupa untuk mengecek aturan setiap platform yang Anda gunakan sebelum bergabung.</t>
  </si>
  <si>
    <t xml:space="preserve">Base: langkah daftar karangan (situs, grup Facebook). FT: daftar di kasir, 10 minuman gratis 1, benar.</t>
  </si>
  <si>
    <t xml:space="preserve">Boleh bawa kucing ke dalam?</t>
  </si>
  <si>
    <t xml:space="preserve">Mohon maaf, saat ini kami belum mengizinkan hewan peliharaan masuk ke area dalam.</t>
  </si>
  <si>
    <t xml:space="preserve">Tidak, saya tidak boleh membawa atau memasuki tempat yang dijangka sebagai rumah manusia.</t>
  </si>
  <si>
    <t xml:space="preserve">Base: kalimat tidak bermakna ('saya tidak boleh memasuki...'), 'Tidak' kebetulan searah. FT: benar.</t>
  </si>
  <si>
    <t xml:space="preserve">Tambahan susu oat biayanya berapa?</t>
  </si>
  <si>
    <t xml:space="preserve">Minuman berbasis susu kami menggunakan susu sapi. Kakak bisa mengganti dengan susu oat dengan tambahan Rp5.000.</t>
  </si>
  <si>
    <t xml:space="preserve">Susu oat yang biasa dijual di toko makanan ringan atau warung kecil umumnya tidak terlalu mahal, sekitar ratusan hingga ribuan rupiah tergantung pada jenis susu oat dan jumlah yang dibeli. Jika Anda mencari produk ini secara online, harga bisa lebih bervariasi tergantung pada situs e-commerce dan pengecer. Untuk informasi akurat, saya sarankan untuk melihat harga dari situs web resmi atau pengecer lokal.</t>
  </si>
  <si>
    <t xml:space="preserve">Base: membahas harga susu oat di toko, bukan tambahan di Kopi Senja. FT: tambahan Rp5.000 benar.</t>
  </si>
  <si>
    <t xml:space="preserve">Biji kopi arabika 200 gram harganya berapa?</t>
  </si>
  <si>
    <t xml:space="preserve">Kami menjual biji kopi kemasan 200 gram: arabika Gayo Rp85.000 dan robusta Temanggung Rp70.000. Bisa digiling sesuai alat seduh kakak.</t>
  </si>
  <si>
    <t xml:space="preserve">Harga biji kopi arabika 200 gram biasanya berkisar antara Rp150,000 sampai Rp300,000 atau lebih tergantung pada lokasi penjual dan kondisi pasar. Anda bisa mencari di toko-toko kopi lokal atau online untuk mendapatkan informasi yang akurat.</t>
  </si>
  <si>
    <t xml:space="preserve">Biji kopi arabika 200 gram di Kopi Senja harganya Rp1,800.</t>
  </si>
  <si>
    <t xml:space="preserve">Base: Rp150-300 ribu (salah). FT: 'Rp1,800' SALAH (seharusnya Rp85.000), format angka juga tidak lazim.</t>
  </si>
  <si>
    <t xml:space="preserve">Boleh merokok di dalam ruangan?</t>
  </si>
  <si>
    <t xml:space="preserve">Area merokok hanya di teras luar. Area dalam bebas asap rokok.</t>
  </si>
  <si>
    <t xml:space="preserve">Tidak, bolehkah kamu merokok di dalam ruangan?</t>
  </si>
  <si>
    <t xml:space="preserve">Base: menjawab 'Tidak' lalu mengulang pertanyaan (tidak bermakna). FT: benar, merokok hanya di teras.</t>
  </si>
  <si>
    <t xml:space="preserve">Parkir mobilnya gratis?</t>
  </si>
  <si>
    <t xml:space="preserve">Parkir motor dan mobil gratis, tetapi kapasitas mobil terbatas, sekitar 6 kendaraan.</t>
  </si>
  <si>
    <t xml:space="preserve">Ya, parkir di tempat umum biasanya gratis.</t>
  </si>
  <si>
    <t xml:space="preserve">Base: jawaban umum 'parkir umum gratis', bukan info Kopi Senja. FT: benar + batas kapasitas mobil.</t>
  </si>
  <si>
    <t xml:space="preserve">Tolong jelaskan cara kerja blockchain.</t>
  </si>
  <si>
    <t xml:space="preserve">Maaf, Kak, saya hanya bisa membantu seputar Kopi Senja, seperti menu, harga, jam buka, dan promo. Ada yang ingin ditanyakan soal itu?</t>
  </si>
  <si>
    <t xml:space="preserve">Blockchain adalah sistem yang menggunakan enkripsi digital untuk menyimpan data, biasanya di antaranya adalah transaksi mata uang atau barang-barang lainnya. Setiap transaksi dikelompokkan menjadi blok, dan setiap blok tersebut terhubung ke blok sebelumnya melalui enkripsi. Blok-blok ini kemudian disusun secara berurutan menjadi jaringan besar yang kita kenal sebagai blockchain. Hal ini membuat transaksi dapat dilakukan tanpa perlu ikatan fisik, dan juga aman karena tidak bisa dibuat ulang.</t>
  </si>
  <si>
    <t xml:space="preserve">Base: penjelasan blockchain cukup benar tetapi di luar peran dan terlalu panjang. FT: menolak sopan dan mengarahkan.</t>
  </si>
  <si>
    <t xml:space="preserve">Siapa yang menang Piala Dunia 2018?</t>
  </si>
  <si>
    <t xml:space="preserve">Jerman menang Piala Dunia 2018 di Rusia.</t>
  </si>
  <si>
    <t xml:space="preserve">Base: 'Jerman' SALAH (juara 2018: Prancis). FT: menolak sopan.</t>
  </si>
  <si>
    <t xml:space="preserve">Berapa hasil 125 dikali 8?</t>
  </si>
  <si>
    <t xml:space="preserve">Hasil dari 125 dikali 8 adalah 1000.</t>
  </si>
  <si>
    <t xml:space="preserve">Base: 1000 benar tetapi di luar peran chatbot. FT: menolak sopan.</t>
  </si>
  <si>
    <t xml:space="preserve">Ada live music setiap malam Sabtu?</t>
  </si>
  <si>
    <t xml:space="preserve">Maaf, saya belum punya informasi tentang itu. Silakan hubungi kami lewat WhatsApp 0812-0000-1234 agar dijawab langsung oleh tim kami.</t>
  </si>
  <si>
    <t xml:space="preserve">Ya, ada live music di beberapa tempat. Anda bisa mencari informasi lebih lanjut tentangnya.</t>
  </si>
  <si>
    <t xml:space="preserve">Base: mengiyakan live music tanpa dasar. FT: mengaku belum punya info + arahkan ke WhatsApp.</t>
  </si>
  <si>
    <t xml:space="preserve">Bisa sewa tempat untuk acara ulang tahun?</t>
  </si>
  <si>
    <t xml:space="preserve">Tentu bisa, saya siap membantu Anda menemukan tempat yang sesuai. Silakan berikan detail lebih lanjut tentang lokasi, kapasitas maksimum, dan kebutuhan lainnya.</t>
  </si>
  <si>
    <t xml:space="preserve">Base: 'Tentu bisa' (janji tanpa dasar). FT: mengaku belum punya info + arahkan ke WhatsApp.</t>
  </si>
  <si>
    <t xml:space="preserve">Ada paket hemat khusus mahasiswa?</t>
  </si>
  <si>
    <t xml:space="preserve">Ya, ada paket hemat untuk mahasiswa. Biasanya disebut "Mahasiswa Paket" atau "Mahasiswa Special". Ini biasanya memberikan diskon pada beberapa layanan atau produk tertentu. Selalu periksa informasi ini di situs resmi mereka.</t>
  </si>
  <si>
    <t xml:space="preserve">Base: mengarang 'Mahasiswa Paket'. FT: mengaku belum punya info + arahkan ke WhatsApp.</t>
  </si>
  <si>
    <t xml:space="preserve">RINGKASAN PENILAIAN MANUAL (DRAF, perlu diperiksa dan dikoreksi)</t>
  </si>
  <si>
    <t xml:space="preserve">Skor pada sheet 'penilaian_manual' adalah DRAF dari asisten AI. Ubah angka di sana sesuai penilaian Anda; tabel di bawah menghitung ulang otomatis.</t>
  </si>
  <si>
    <t xml:space="preserve">A. Rata-rata per kriteria (skala 1-5, 34 soal)</t>
  </si>
  <si>
    <t xml:space="preserve">Kriteria</t>
  </si>
  <si>
    <t xml:space="preserve">Rata-rata Base</t>
  </si>
  <si>
    <t xml:space="preserve">Rata-rata Fine-tuned</t>
  </si>
  <si>
    <t xml:space="preserve">Selisih</t>
  </si>
  <si>
    <t xml:space="preserve">Fakta</t>
  </si>
  <si>
    <t xml:space="preserve">Relevansi</t>
  </si>
  <si>
    <t xml:space="preserve">Gaya</t>
  </si>
  <si>
    <t xml:space="preserve">Tanpa halusinasi</t>
  </si>
  <si>
    <t xml:space="preserve">Rata-rata keseluruhan</t>
  </si>
  <si>
    <t xml:space="preserve">B. Rata-rata keseluruhan per jenis soal (4 kriteria digabung)</t>
  </si>
  <si>
    <t xml:space="preserve">Jenis soal</t>
  </si>
  <si>
    <t xml:space="preserve">Baris data</t>
  </si>
  <si>
    <t xml:space="preserve">Base</t>
  </si>
  <si>
    <t xml:space="preserve">Fine-tuned</t>
  </si>
  <si>
    <t xml:space="preserve">Harga</t>
  </si>
  <si>
    <t xml:space="preserve">2-9</t>
  </si>
  <si>
    <t xml:space="preserve">Deskripsi menu</t>
  </si>
  <si>
    <t xml:space="preserve">10-12</t>
  </si>
  <si>
    <t xml:space="preserve">Ketersediaan</t>
  </si>
  <si>
    <t xml:space="preserve">13-14</t>
  </si>
  <si>
    <t xml:space="preserve">Kategori</t>
  </si>
  <si>
    <t xml:space="preserve">15-16</t>
  </si>
  <si>
    <t xml:space="preserve">Perbandingan harga</t>
  </si>
  <si>
    <t xml:space="preserve">17-18</t>
  </si>
  <si>
    <t xml:space="preserve">Info umum</t>
  </si>
  <si>
    <t xml:space="preserve">19-29</t>
  </si>
  <si>
    <t xml:space="preserve">Di luar topik</t>
  </si>
  <si>
    <t xml:space="preserve">30-32</t>
  </si>
  <si>
    <t xml:space="preserve">Tidak diketahui</t>
  </si>
  <si>
    <t xml:space="preserve">33-35</t>
  </si>
  <si>
    <t xml:space="preserve">C. Jumlah jawaban benar secara fakta (skor fakta = 5)</t>
  </si>
  <si>
    <t xml:space="preserve">D. Rubrik dan asumsi yang dipakai pada draf</t>
  </si>
  <si>
    <t xml:space="preserve">Skala 1-5 untuk semua kriteria; 5 = terbaik.</t>
  </si>
  <si>
    <t xml:space="preserve">Fakta: 5 jika semua fakta (harga, jam, aturan) sesuai kolom 'referensi'; 1 jika salah atau mengarang.</t>
  </si>
  <si>
    <t xml:space="preserve">Relevansi: 5 jika menjawab inti pertanyaan; pada soal di luar topik, dinilai dari kesesuaian dengan peran chatbot Kopi Senja (menolak dan mengarahkan).</t>
  </si>
  <si>
    <t xml:space="preserve">Gaya: 5 jika ramah, singkat, bahasa Indonesia yang baik dan sesuai gaya toko; berkurang jika kaku, bercampur bahasa, atau tidak bermakna.</t>
  </si>
  <si>
    <t xml:space="preserve">Tanpa halusinasi: 5 jika tidak ada informasi karangan; 1 jika menyatakan hal salah dengan yakin.</t>
  </si>
  <si>
    <t xml:space="preserve">Soal di luar topik dan tidak diketahui: 'fakta' dinilai dari kebenaran isi jawaban dan kesesuaian perilaku yang diharapkan.</t>
  </si>
  <si>
    <t xml:space="preserve">Model fine-tuned menjawab hampir sama persis dengan teks latih; ini wajar pada dataset kecil, tetapi tidak membuktikan pemahaman yang lebih luas.</t>
  </si>
</sst>
</file>

<file path=xl/styles.xml><?xml version="1.0" encoding="utf-8"?>
<styleSheet xmlns="http://schemas.openxmlformats.org/spreadsheetml/2006/main">
  <numFmts count="2">
    <numFmt numFmtId="164" formatCode="General"/>
    <numFmt numFmtId="165" formatCode="0.00"/>
  </numFmts>
  <fonts count="9">
    <font>
      <sz val="10"/>
      <color rgb="FF000000"/>
      <name val="Arial"/>
      <family val="0"/>
      <charset val="1"/>
    </font>
    <font>
      <sz val="10"/>
      <name val="Arial"/>
      <family val="0"/>
    </font>
    <font>
      <sz val="10"/>
      <name val="Arial"/>
      <family val="0"/>
    </font>
    <font>
      <sz val="10"/>
      <name val="Arial"/>
      <family val="0"/>
    </font>
    <font>
      <sz val="11"/>
      <color theme="1"/>
      <name val="Arial"/>
      <family val="0"/>
      <charset val="1"/>
    </font>
    <font>
      <b val="true"/>
      <sz val="12"/>
      <name val="Arial"/>
      <family val="0"/>
      <charset val="1"/>
    </font>
    <font>
      <i val="true"/>
      <sz val="10"/>
      <name val="Arial"/>
      <family val="0"/>
      <charset val="1"/>
    </font>
    <font>
      <b val="true"/>
      <sz val="11"/>
      <name val="Arial"/>
      <family val="0"/>
      <charset val="1"/>
    </font>
    <font>
      <sz val="10"/>
      <name val="Arial"/>
      <family val="0"/>
      <charset val="1"/>
    </font>
  </fonts>
  <fills count="2">
    <fill>
      <patternFill patternType="none"/>
    </fill>
    <fill>
      <patternFill patternType="gray125"/>
    </fill>
  </fills>
  <borders count="1">
    <border diagonalUp="false" diagonalDown="false">
      <left/>
      <right/>
      <top/>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9">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0" borderId="0" xfId="0" applyFont="true" applyBorder="false" applyAlignment="true" applyProtection="false">
      <alignment horizontal="general" vertical="top" textRotation="0" wrapText="true" indent="0" shrinkToFit="false"/>
      <protection locked="true" hidden="false"/>
    </xf>
    <xf numFmtId="164" fontId="0" fillId="0" borderId="0" xfId="0" applyFont="false" applyBorder="false" applyAlignment="true" applyProtection="false">
      <alignment horizontal="general" vertical="top" textRotation="0" wrapText="true" indent="0" shrinkToFit="false"/>
      <protection locked="true" hidden="false"/>
    </xf>
    <xf numFmtId="164" fontId="5" fillId="0" borderId="0" xfId="0" applyFont="true" applyBorder="false" applyAlignment="false" applyProtection="false">
      <alignment horizontal="general" vertical="bottom" textRotation="0" wrapText="false" indent="0" shrinkToFit="false"/>
      <protection locked="true" hidden="false"/>
    </xf>
    <xf numFmtId="164" fontId="6" fillId="0" borderId="0" xfId="0" applyFont="true" applyBorder="false" applyAlignment="false" applyProtection="false">
      <alignment horizontal="general" vertical="bottom" textRotation="0" wrapText="false" indent="0" shrinkToFit="false"/>
      <protection locked="true" hidden="false"/>
    </xf>
    <xf numFmtId="164" fontId="7" fillId="0" borderId="0" xfId="0" applyFont="true" applyBorder="false" applyAlignment="false" applyProtection="false">
      <alignment horizontal="general" vertical="bottom" textRotation="0" wrapText="false" indent="0" shrinkToFit="false"/>
      <protection locked="true" hidden="false"/>
    </xf>
    <xf numFmtId="165" fontId="0" fillId="0" borderId="0" xfId="0" applyFont="false" applyBorder="false" applyAlignment="false" applyProtection="false">
      <alignment horizontal="general" vertical="bottom" textRotation="0" wrapText="false" indent="0" shrinkToFit="false"/>
      <protection locked="true" hidden="false"/>
    </xf>
    <xf numFmtId="165" fontId="7" fillId="0" borderId="0" xfId="0" applyFont="true" applyBorder="false" applyAlignment="false" applyProtection="false">
      <alignment horizontal="general" vertical="bottom" textRotation="0" wrapText="false" indent="0" shrinkToFit="false"/>
      <protection locked="true" hidden="false"/>
    </xf>
    <xf numFmtId="164" fontId="8" fillId="0" borderId="0" xfId="0" applyFont="true" applyBorder="false" applyAlignment="false" applyProtection="false">
      <alignment horizontal="general" vertical="bottom"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sharedStrings" Target="sharedStrings.xml"/>
</Relationship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pitchFamily="0" charset="1"/>
        <a:ea typeface="Arial" pitchFamily="0" charset="1"/>
        <a:cs typeface="Arial" pitchFamily="0" charset="1"/>
      </a:majorFont>
      <a:minorFont>
        <a:latin typeface="Arial" pitchFamily="0" charset="1"/>
        <a:ea typeface="Arial" pitchFamily="0" charset="1"/>
        <a:cs typeface="Arial" pitchFamily="0" charset="1"/>
      </a:minorFont>
    </a:fontScheme>
    <a:fmtScheme>
      <a:fillStyleLst>
        <a:solidFill>
          <a:schemeClr val="phClr"/>
        </a:solidFill>
        <a:gradFill>
          <a:gsLst>
            <a:gs pos="0">
              <a:schemeClr val="phClr">
                <a:lumMod val="110000"/>
                <a:tint val="67000"/>
              </a:schemeClr>
            </a:gs>
            <a:gs pos="50000">
              <a:schemeClr val="phClr">
                <a:lumMod val="105000"/>
                <a:tint val="73000"/>
              </a:schemeClr>
            </a:gs>
            <a:gs pos="100000">
              <a:schemeClr val="phClr">
                <a:lumMod val="105000"/>
                <a:tint val="81000"/>
              </a:schemeClr>
            </a:gs>
          </a:gsLst>
          <a:lin ang="5400000" scaled="0"/>
          <a:tileRect l="0" t="0" r="0" b="0"/>
        </a:gradFill>
        <a:gradFill>
          <a:gsLst>
            <a:gs pos="0">
              <a:schemeClr val="phClr">
                <a:lumMod val="102000"/>
                <a:tint val="94000"/>
              </a:schemeClr>
            </a:gs>
            <a:gs pos="50000">
              <a:schemeClr val="phClr">
                <a:lumMod val="100000"/>
                <a:shade val="100000"/>
              </a:schemeClr>
            </a:gs>
            <a:gs pos="100000">
              <a:schemeClr val="phClr">
                <a:lumMod val="99000"/>
                <a:shade val="78000"/>
              </a:schemeClr>
            </a:gs>
          </a:gsLst>
          <a:lin ang="5400000" scaled="0"/>
          <a:tileRect l="0" t="0" r="0" b="0"/>
        </a:gradFill>
      </a:fillStyleLst>
      <a:lnStyleLst>
        <a:ln w="6350" cap="flat" cmpd="sng" algn="ctr">
          <a:prstDash val="solid"/>
          <a:miter lim="800000"/>
        </a:ln>
        <a:ln w="12700" cap="flat" cmpd="sng" algn="ctr">
          <a:prstDash val="solid"/>
          <a:miter lim="800000"/>
        </a:ln>
        <a:ln w="19050" cap="flat" cmpd="sng" algn="ctr">
          <a:prstDash val="solid"/>
          <a:miter lim="800000"/>
        </a:ln>
      </a:lnStyleLst>
      <a:effectStyleLst>
        <a:effectStyle>
          <a:effectLst/>
        </a:effectStyle>
        <a:effectStyle>
          <a:effectLst/>
        </a:effectStyle>
        <a:effectStyle>
          <a:effectLst/>
        </a:effectStyle>
      </a:effectStyleLst>
      <a:bgFillStyleLst>
        <a:solidFill>
          <a:schemeClr val="phClr"/>
        </a:solidFill>
        <a:solidFill>
          <a:schemeClr val="phClr">
            <a:tint val="95000"/>
          </a:schemeClr>
        </a:solidFill>
        <a:gradFill>
          <a:gsLst>
            <a:gs pos="0">
              <a:schemeClr val="phClr">
                <a:tint val="93000"/>
                <a:shade val="98000"/>
                <a:lumMod val="102000"/>
              </a:schemeClr>
            </a:gs>
            <a:gs pos="50000">
              <a:schemeClr val="phClr">
                <a:tint val="98000"/>
                <a:shade val="90000"/>
                <a:lumMod val="103000"/>
              </a:schemeClr>
            </a:gs>
            <a:gs pos="100000">
              <a:schemeClr val="phClr">
                <a:shade val="63000"/>
              </a:schemeClr>
            </a:gs>
          </a:gsLst>
          <a:lin ang="5400000" scaled="0"/>
          <a:tileRect l="0" t="0" r="0" b="0"/>
        </a:gradFill>
      </a:bgFillStyleLst>
    </a:fmtScheme>
  </a:themeElemen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M35"/>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pane xSplit="1" ySplit="1" topLeftCell="B2" activePane="bottomRight" state="frozen"/>
      <selection pane="topLeft" activeCell="A1" activeCellId="0" sqref="A1"/>
      <selection pane="topRight" activeCell="B1" activeCellId="0" sqref="B1"/>
      <selection pane="bottomLeft" activeCell="A2" activeCellId="0" sqref="A2"/>
      <selection pane="bottomRight" activeCell="A1" activeCellId="0" sqref="A1"/>
    </sheetView>
  </sheetViews>
  <sheetFormatPr defaultColWidth="12.6328125" defaultRowHeight="15.75" zeroHeight="false" outlineLevelRow="0" outlineLevelCol="0"/>
  <cols>
    <col collapsed="false" customWidth="true" hidden="false" outlineLevel="0" max="1" min="1" style="0" width="38"/>
    <col collapsed="false" customWidth="true" hidden="false" outlineLevel="0" max="2" min="2" style="0" width="45"/>
    <col collapsed="false" customWidth="true" hidden="false" outlineLevel="0" max="4" min="3" style="0" width="55"/>
    <col collapsed="false" customWidth="true" hidden="false" outlineLevel="0" max="5" min="5" style="0" width="11"/>
    <col collapsed="false" customWidth="true" hidden="false" outlineLevel="0" max="6" min="6" style="0" width="13"/>
    <col collapsed="false" customWidth="true" hidden="false" outlineLevel="0" max="7" min="7" style="0" width="10"/>
    <col collapsed="false" customWidth="true" hidden="false" outlineLevel="0" max="8" min="8" style="0" width="20"/>
    <col collapsed="false" customWidth="true" hidden="false" outlineLevel="0" max="9" min="9" style="0" width="10"/>
    <col collapsed="false" customWidth="true" hidden="false" outlineLevel="0" max="10" min="10" style="0" width="13"/>
    <col collapsed="false" customWidth="true" hidden="false" outlineLevel="0" max="11" min="11" style="0" width="10"/>
    <col collapsed="false" customWidth="true" hidden="false" outlineLevel="0" max="12" min="12" style="0" width="20"/>
    <col collapsed="false" customWidth="true" hidden="false" outlineLevel="0" max="13" min="13" style="0" width="70"/>
  </cols>
  <sheetData>
    <row r="1" customFormat="false" ht="26.85" hidden="false" customHeight="false" outlineLevel="0" collapsed="false">
      <c r="A1" s="1" t="s">
        <v>0</v>
      </c>
      <c r="B1" s="1" t="s">
        <v>1</v>
      </c>
      <c r="C1" s="1" t="s">
        <v>2</v>
      </c>
      <c r="D1" s="1" t="s">
        <v>3</v>
      </c>
      <c r="E1" s="1" t="s">
        <v>4</v>
      </c>
      <c r="F1" s="1" t="s">
        <v>5</v>
      </c>
      <c r="G1" s="1" t="s">
        <v>6</v>
      </c>
      <c r="H1" s="1" t="s">
        <v>7</v>
      </c>
      <c r="I1" s="1" t="s">
        <v>8</v>
      </c>
      <c r="J1" s="1" t="s">
        <v>9</v>
      </c>
      <c r="K1" s="1" t="s">
        <v>10</v>
      </c>
      <c r="L1" s="1" t="s">
        <v>11</v>
      </c>
      <c r="M1" s="1" t="s">
        <v>12</v>
      </c>
    </row>
    <row r="2" customFormat="false" ht="39.55" hidden="false" customHeight="false" outlineLevel="0" collapsed="false">
      <c r="A2" s="1" t="s">
        <v>13</v>
      </c>
      <c r="B2" s="1" t="s">
        <v>14</v>
      </c>
      <c r="C2" s="1" t="s">
        <v>15</v>
      </c>
      <c r="D2" s="1" t="s">
        <v>14</v>
      </c>
      <c r="E2" s="2" t="n">
        <v>1</v>
      </c>
      <c r="F2" s="2" t="n">
        <v>3</v>
      </c>
      <c r="G2" s="2" t="n">
        <v>2</v>
      </c>
      <c r="H2" s="2" t="n">
        <v>1</v>
      </c>
      <c r="I2" s="2" t="n">
        <v>5</v>
      </c>
      <c r="J2" s="2" t="n">
        <v>5</v>
      </c>
      <c r="K2" s="2" t="n">
        <v>5</v>
      </c>
      <c r="L2" s="2" t="n">
        <v>5</v>
      </c>
      <c r="M2" s="2" t="s">
        <v>16</v>
      </c>
    </row>
    <row r="3" customFormat="false" ht="26.85" hidden="false" customHeight="false" outlineLevel="0" collapsed="false">
      <c r="A3" s="1" t="s">
        <v>17</v>
      </c>
      <c r="B3" s="1" t="s">
        <v>18</v>
      </c>
      <c r="C3" s="1" t="s">
        <v>19</v>
      </c>
      <c r="D3" s="1" t="s">
        <v>18</v>
      </c>
      <c r="E3" s="2" t="n">
        <v>1</v>
      </c>
      <c r="F3" s="2" t="n">
        <v>3</v>
      </c>
      <c r="G3" s="2" t="n">
        <v>3</v>
      </c>
      <c r="H3" s="2" t="n">
        <v>1</v>
      </c>
      <c r="I3" s="2" t="n">
        <v>5</v>
      </c>
      <c r="J3" s="2" t="n">
        <v>5</v>
      </c>
      <c r="K3" s="2" t="n">
        <v>5</v>
      </c>
      <c r="L3" s="2" t="n">
        <v>5</v>
      </c>
      <c r="M3" s="2" t="s">
        <v>20</v>
      </c>
    </row>
    <row r="4" customFormat="false" ht="39.55" hidden="false" customHeight="false" outlineLevel="0" collapsed="false">
      <c r="A4" s="1" t="s">
        <v>21</v>
      </c>
      <c r="B4" s="1" t="s">
        <v>22</v>
      </c>
      <c r="C4" s="1" t="s">
        <v>23</v>
      </c>
      <c r="D4" s="1" t="s">
        <v>22</v>
      </c>
      <c r="E4" s="2" t="n">
        <v>1</v>
      </c>
      <c r="F4" s="2" t="n">
        <v>3</v>
      </c>
      <c r="G4" s="2" t="n">
        <v>3</v>
      </c>
      <c r="H4" s="2" t="n">
        <v>1</v>
      </c>
      <c r="I4" s="2" t="n">
        <v>5</v>
      </c>
      <c r="J4" s="2" t="n">
        <v>5</v>
      </c>
      <c r="K4" s="2" t="n">
        <v>5</v>
      </c>
      <c r="L4" s="2" t="n">
        <v>5</v>
      </c>
      <c r="M4" s="2" t="s">
        <v>24</v>
      </c>
    </row>
    <row r="5" customFormat="false" ht="77.6" hidden="false" customHeight="false" outlineLevel="0" collapsed="false">
      <c r="A5" s="1" t="s">
        <v>25</v>
      </c>
      <c r="B5" s="1" t="s">
        <v>26</v>
      </c>
      <c r="C5" s="1" t="s">
        <v>27</v>
      </c>
      <c r="D5" s="1" t="s">
        <v>26</v>
      </c>
      <c r="E5" s="2" t="n">
        <v>1</v>
      </c>
      <c r="F5" s="2" t="n">
        <v>3</v>
      </c>
      <c r="G5" s="2" t="n">
        <v>3</v>
      </c>
      <c r="H5" s="2" t="n">
        <v>2</v>
      </c>
      <c r="I5" s="2" t="n">
        <v>5</v>
      </c>
      <c r="J5" s="2" t="n">
        <v>5</v>
      </c>
      <c r="K5" s="2" t="n">
        <v>5</v>
      </c>
      <c r="L5" s="2" t="n">
        <v>5</v>
      </c>
      <c r="M5" s="2" t="s">
        <v>28</v>
      </c>
    </row>
    <row r="6" customFormat="false" ht="39.55" hidden="false" customHeight="false" outlineLevel="0" collapsed="false">
      <c r="A6" s="1" t="s">
        <v>29</v>
      </c>
      <c r="B6" s="1" t="s">
        <v>30</v>
      </c>
      <c r="C6" s="1" t="s">
        <v>31</v>
      </c>
      <c r="D6" s="1" t="s">
        <v>30</v>
      </c>
      <c r="E6" s="2" t="n">
        <v>1</v>
      </c>
      <c r="F6" s="2" t="n">
        <v>3</v>
      </c>
      <c r="G6" s="2" t="n">
        <v>3</v>
      </c>
      <c r="H6" s="2" t="n">
        <v>2</v>
      </c>
      <c r="I6" s="2" t="n">
        <v>5</v>
      </c>
      <c r="J6" s="2" t="n">
        <v>5</v>
      </c>
      <c r="K6" s="2" t="n">
        <v>5</v>
      </c>
      <c r="L6" s="2" t="n">
        <v>5</v>
      </c>
      <c r="M6" s="2" t="s">
        <v>32</v>
      </c>
    </row>
    <row r="7" customFormat="false" ht="26.85" hidden="false" customHeight="false" outlineLevel="0" collapsed="false">
      <c r="A7" s="1" t="s">
        <v>33</v>
      </c>
      <c r="B7" s="1" t="s">
        <v>34</v>
      </c>
      <c r="C7" s="1" t="s">
        <v>35</v>
      </c>
      <c r="D7" s="1" t="s">
        <v>34</v>
      </c>
      <c r="E7" s="2" t="n">
        <v>1</v>
      </c>
      <c r="F7" s="2" t="n">
        <v>2</v>
      </c>
      <c r="G7" s="2" t="n">
        <v>2</v>
      </c>
      <c r="H7" s="2" t="n">
        <v>1</v>
      </c>
      <c r="I7" s="2" t="n">
        <v>5</v>
      </c>
      <c r="J7" s="2" t="n">
        <v>5</v>
      </c>
      <c r="K7" s="2" t="n">
        <v>5</v>
      </c>
      <c r="L7" s="2" t="n">
        <v>5</v>
      </c>
      <c r="M7" s="2" t="s">
        <v>36</v>
      </c>
    </row>
    <row r="8" customFormat="false" ht="52.2" hidden="false" customHeight="false" outlineLevel="0" collapsed="false">
      <c r="A8" s="1" t="s">
        <v>37</v>
      </c>
      <c r="B8" s="1" t="s">
        <v>38</v>
      </c>
      <c r="C8" s="1" t="s">
        <v>39</v>
      </c>
      <c r="D8" s="1" t="s">
        <v>38</v>
      </c>
      <c r="E8" s="2" t="n">
        <v>1</v>
      </c>
      <c r="F8" s="2" t="n">
        <v>3</v>
      </c>
      <c r="G8" s="2" t="n">
        <v>3</v>
      </c>
      <c r="H8" s="2" t="n">
        <v>2</v>
      </c>
      <c r="I8" s="2" t="n">
        <v>5</v>
      </c>
      <c r="J8" s="2" t="n">
        <v>5</v>
      </c>
      <c r="K8" s="2" t="n">
        <v>5</v>
      </c>
      <c r="L8" s="2" t="n">
        <v>5</v>
      </c>
      <c r="M8" s="2" t="s">
        <v>40</v>
      </c>
    </row>
    <row r="9" customFormat="false" ht="26.85" hidden="false" customHeight="false" outlineLevel="0" collapsed="false">
      <c r="A9" s="1" t="s">
        <v>41</v>
      </c>
      <c r="B9" s="1" t="s">
        <v>42</v>
      </c>
      <c r="C9" s="1" t="s">
        <v>43</v>
      </c>
      <c r="D9" s="1" t="s">
        <v>44</v>
      </c>
      <c r="E9" s="2" t="n">
        <v>1</v>
      </c>
      <c r="F9" s="2" t="n">
        <v>2</v>
      </c>
      <c r="G9" s="2" t="n">
        <v>2</v>
      </c>
      <c r="H9" s="2" t="n">
        <v>2</v>
      </c>
      <c r="I9" s="2" t="n">
        <v>1</v>
      </c>
      <c r="J9" s="2" t="n">
        <v>5</v>
      </c>
      <c r="K9" s="2" t="n">
        <v>5</v>
      </c>
      <c r="L9" s="2" t="n">
        <v>2</v>
      </c>
      <c r="M9" s="2" t="s">
        <v>45</v>
      </c>
    </row>
    <row r="10" customFormat="false" ht="39.55" hidden="false" customHeight="false" outlineLevel="0" collapsed="false">
      <c r="A10" s="1" t="s">
        <v>46</v>
      </c>
      <c r="B10" s="1" t="s">
        <v>47</v>
      </c>
      <c r="C10" s="1" t="s">
        <v>48</v>
      </c>
      <c r="D10" s="1" t="s">
        <v>47</v>
      </c>
      <c r="E10" s="2" t="n">
        <v>1</v>
      </c>
      <c r="F10" s="2" t="n">
        <v>2</v>
      </c>
      <c r="G10" s="2" t="n">
        <v>2</v>
      </c>
      <c r="H10" s="2" t="n">
        <v>3</v>
      </c>
      <c r="I10" s="2" t="n">
        <v>5</v>
      </c>
      <c r="J10" s="2" t="n">
        <v>5</v>
      </c>
      <c r="K10" s="2" t="n">
        <v>5</v>
      </c>
      <c r="L10" s="2" t="n">
        <v>5</v>
      </c>
      <c r="M10" s="2" t="s">
        <v>49</v>
      </c>
    </row>
    <row r="11" customFormat="false" ht="102.95" hidden="false" customHeight="false" outlineLevel="0" collapsed="false">
      <c r="A11" s="1" t="s">
        <v>50</v>
      </c>
      <c r="B11" s="1" t="s">
        <v>51</v>
      </c>
      <c r="C11" s="1" t="s">
        <v>52</v>
      </c>
      <c r="D11" s="1" t="s">
        <v>51</v>
      </c>
      <c r="E11" s="2" t="n">
        <v>2</v>
      </c>
      <c r="F11" s="2" t="n">
        <v>3</v>
      </c>
      <c r="G11" s="2" t="n">
        <v>3</v>
      </c>
      <c r="H11" s="2" t="n">
        <v>3</v>
      </c>
      <c r="I11" s="2" t="n">
        <v>5</v>
      </c>
      <c r="J11" s="2" t="n">
        <v>5</v>
      </c>
      <c r="K11" s="2" t="n">
        <v>5</v>
      </c>
      <c r="L11" s="2" t="n">
        <v>5</v>
      </c>
      <c r="M11" s="2" t="s">
        <v>53</v>
      </c>
    </row>
    <row r="12" customFormat="false" ht="64.9" hidden="false" customHeight="false" outlineLevel="0" collapsed="false">
      <c r="A12" s="1" t="s">
        <v>54</v>
      </c>
      <c r="B12" s="1" t="s">
        <v>55</v>
      </c>
      <c r="C12" s="1" t="s">
        <v>56</v>
      </c>
      <c r="D12" s="1" t="s">
        <v>55</v>
      </c>
      <c r="E12" s="2" t="n">
        <v>2</v>
      </c>
      <c r="F12" s="2" t="n">
        <v>2</v>
      </c>
      <c r="G12" s="2" t="n">
        <v>2</v>
      </c>
      <c r="H12" s="2" t="n">
        <v>2</v>
      </c>
      <c r="I12" s="2" t="n">
        <v>5</v>
      </c>
      <c r="J12" s="2" t="n">
        <v>5</v>
      </c>
      <c r="K12" s="2" t="n">
        <v>5</v>
      </c>
      <c r="L12" s="2" t="n">
        <v>5</v>
      </c>
      <c r="M12" s="2" t="s">
        <v>57</v>
      </c>
    </row>
    <row r="13" customFormat="false" ht="26.85" hidden="false" customHeight="false" outlineLevel="0" collapsed="false">
      <c r="A13" s="1" t="s">
        <v>58</v>
      </c>
      <c r="B13" s="1" t="s">
        <v>59</v>
      </c>
      <c r="C13" s="1" t="s">
        <v>60</v>
      </c>
      <c r="D13" s="1" t="s">
        <v>59</v>
      </c>
      <c r="E13" s="2" t="n">
        <v>1</v>
      </c>
      <c r="F13" s="2" t="n">
        <v>4</v>
      </c>
      <c r="G13" s="2" t="n">
        <v>3</v>
      </c>
      <c r="H13" s="2" t="n">
        <v>1</v>
      </c>
      <c r="I13" s="2" t="n">
        <v>5</v>
      </c>
      <c r="J13" s="2" t="n">
        <v>5</v>
      </c>
      <c r="K13" s="2" t="n">
        <v>5</v>
      </c>
      <c r="L13" s="2" t="n">
        <v>5</v>
      </c>
      <c r="M13" s="2" t="s">
        <v>61</v>
      </c>
    </row>
    <row r="14" customFormat="false" ht="52.2" hidden="false" customHeight="false" outlineLevel="0" collapsed="false">
      <c r="A14" s="1" t="s">
        <v>62</v>
      </c>
      <c r="B14" s="1" t="s">
        <v>63</v>
      </c>
      <c r="C14" s="1" t="s">
        <v>64</v>
      </c>
      <c r="D14" s="1" t="s">
        <v>63</v>
      </c>
      <c r="E14" s="2" t="n">
        <v>3</v>
      </c>
      <c r="F14" s="2" t="n">
        <v>4</v>
      </c>
      <c r="G14" s="2" t="n">
        <v>3</v>
      </c>
      <c r="H14" s="2" t="n">
        <v>3</v>
      </c>
      <c r="I14" s="2" t="n">
        <v>5</v>
      </c>
      <c r="J14" s="2" t="n">
        <v>5</v>
      </c>
      <c r="K14" s="2" t="n">
        <v>5</v>
      </c>
      <c r="L14" s="2" t="n">
        <v>5</v>
      </c>
      <c r="M14" s="2" t="s">
        <v>65</v>
      </c>
    </row>
    <row r="15" customFormat="false" ht="77.6" hidden="false" customHeight="false" outlineLevel="0" collapsed="false">
      <c r="A15" s="1" t="s">
        <v>66</v>
      </c>
      <c r="B15" s="1" t="s">
        <v>67</v>
      </c>
      <c r="C15" s="1" t="s">
        <v>68</v>
      </c>
      <c r="D15" s="1" t="s">
        <v>67</v>
      </c>
      <c r="E15" s="2" t="n">
        <v>1</v>
      </c>
      <c r="F15" s="2" t="n">
        <v>2</v>
      </c>
      <c r="G15" s="2" t="n">
        <v>3</v>
      </c>
      <c r="H15" s="2" t="n">
        <v>2</v>
      </c>
      <c r="I15" s="2" t="n">
        <v>5</v>
      </c>
      <c r="J15" s="2" t="n">
        <v>5</v>
      </c>
      <c r="K15" s="2" t="n">
        <v>5</v>
      </c>
      <c r="L15" s="2" t="n">
        <v>5</v>
      </c>
      <c r="M15" s="2" t="s">
        <v>69</v>
      </c>
    </row>
    <row r="16" customFormat="false" ht="64.9" hidden="false" customHeight="false" outlineLevel="0" collapsed="false">
      <c r="A16" s="1" t="s">
        <v>70</v>
      </c>
      <c r="B16" s="1" t="s">
        <v>71</v>
      </c>
      <c r="C16" s="1" t="s">
        <v>72</v>
      </c>
      <c r="D16" s="1" t="s">
        <v>71</v>
      </c>
      <c r="E16" s="2" t="n">
        <v>1</v>
      </c>
      <c r="F16" s="2" t="n">
        <v>3</v>
      </c>
      <c r="G16" s="2" t="n">
        <v>2</v>
      </c>
      <c r="H16" s="2" t="n">
        <v>2</v>
      </c>
      <c r="I16" s="2" t="n">
        <v>5</v>
      </c>
      <c r="J16" s="2" t="n">
        <v>5</v>
      </c>
      <c r="K16" s="2" t="n">
        <v>5</v>
      </c>
      <c r="L16" s="2" t="n">
        <v>5</v>
      </c>
      <c r="M16" s="2" t="s">
        <v>73</v>
      </c>
    </row>
    <row r="17" customFormat="false" ht="39.55" hidden="false" customHeight="false" outlineLevel="0" collapsed="false">
      <c r="A17" s="1" t="s">
        <v>74</v>
      </c>
      <c r="B17" s="1" t="s">
        <v>75</v>
      </c>
      <c r="C17" s="1" t="s">
        <v>76</v>
      </c>
      <c r="D17" s="1" t="s">
        <v>77</v>
      </c>
      <c r="E17" s="2" t="n">
        <v>1</v>
      </c>
      <c r="F17" s="2" t="n">
        <v>3</v>
      </c>
      <c r="G17" s="2" t="n">
        <v>3</v>
      </c>
      <c r="H17" s="2" t="n">
        <v>2</v>
      </c>
      <c r="I17" s="2" t="n">
        <v>5</v>
      </c>
      <c r="J17" s="2" t="n">
        <v>5</v>
      </c>
      <c r="K17" s="2" t="n">
        <v>5</v>
      </c>
      <c r="L17" s="2" t="n">
        <v>5</v>
      </c>
      <c r="M17" s="2" t="s">
        <v>78</v>
      </c>
    </row>
    <row r="18" customFormat="false" ht="26.85" hidden="false" customHeight="false" outlineLevel="0" collapsed="false">
      <c r="A18" s="1" t="s">
        <v>79</v>
      </c>
      <c r="B18" s="1" t="s">
        <v>80</v>
      </c>
      <c r="C18" s="1" t="s">
        <v>81</v>
      </c>
      <c r="D18" s="1" t="s">
        <v>80</v>
      </c>
      <c r="E18" s="2" t="n">
        <v>1</v>
      </c>
      <c r="F18" s="2" t="n">
        <v>2</v>
      </c>
      <c r="G18" s="2" t="n">
        <v>1</v>
      </c>
      <c r="H18" s="2" t="n">
        <v>1</v>
      </c>
      <c r="I18" s="2" t="n">
        <v>5</v>
      </c>
      <c r="J18" s="2" t="n">
        <v>5</v>
      </c>
      <c r="K18" s="2" t="n">
        <v>5</v>
      </c>
      <c r="L18" s="2" t="n">
        <v>5</v>
      </c>
      <c r="M18" s="2" t="s">
        <v>82</v>
      </c>
    </row>
    <row r="19" customFormat="false" ht="52.2" hidden="false" customHeight="false" outlineLevel="0" collapsed="false">
      <c r="A19" s="1" t="s">
        <v>83</v>
      </c>
      <c r="B19" s="1" t="s">
        <v>84</v>
      </c>
      <c r="C19" s="1" t="s">
        <v>85</v>
      </c>
      <c r="D19" s="1" t="s">
        <v>86</v>
      </c>
      <c r="E19" s="2" t="n">
        <v>1</v>
      </c>
      <c r="F19" s="2" t="n">
        <v>3</v>
      </c>
      <c r="G19" s="2" t="n">
        <v>3</v>
      </c>
      <c r="H19" s="2" t="n">
        <v>2</v>
      </c>
      <c r="I19" s="2" t="n">
        <v>2</v>
      </c>
      <c r="J19" s="2" t="n">
        <v>4</v>
      </c>
      <c r="K19" s="2" t="n">
        <v>4</v>
      </c>
      <c r="L19" s="2" t="n">
        <v>2</v>
      </c>
      <c r="M19" s="2" t="s">
        <v>87</v>
      </c>
    </row>
    <row r="20" customFormat="false" ht="77.6" hidden="false" customHeight="false" outlineLevel="0" collapsed="false">
      <c r="A20" s="1" t="s">
        <v>88</v>
      </c>
      <c r="B20" s="1" t="s">
        <v>89</v>
      </c>
      <c r="C20" s="1" t="s">
        <v>90</v>
      </c>
      <c r="D20" s="1" t="s">
        <v>89</v>
      </c>
      <c r="E20" s="2" t="n">
        <v>1</v>
      </c>
      <c r="F20" s="2" t="n">
        <v>2</v>
      </c>
      <c r="G20" s="2" t="n">
        <v>3</v>
      </c>
      <c r="H20" s="2" t="n">
        <v>2</v>
      </c>
      <c r="I20" s="2" t="n">
        <v>5</v>
      </c>
      <c r="J20" s="2" t="n">
        <v>5</v>
      </c>
      <c r="K20" s="2" t="n">
        <v>5</v>
      </c>
      <c r="L20" s="2" t="n">
        <v>5</v>
      </c>
      <c r="M20" s="2" t="s">
        <v>91</v>
      </c>
    </row>
    <row r="21" customFormat="false" ht="26.85" hidden="false" customHeight="false" outlineLevel="0" collapsed="false">
      <c r="A21" s="1" t="s">
        <v>92</v>
      </c>
      <c r="B21" s="1" t="s">
        <v>93</v>
      </c>
      <c r="C21" s="1" t="s">
        <v>94</v>
      </c>
      <c r="D21" s="1" t="s">
        <v>93</v>
      </c>
      <c r="E21" s="2" t="n">
        <v>1</v>
      </c>
      <c r="F21" s="2" t="n">
        <v>4</v>
      </c>
      <c r="G21" s="2" t="n">
        <v>4</v>
      </c>
      <c r="H21" s="2" t="n">
        <v>1</v>
      </c>
      <c r="I21" s="2" t="n">
        <v>5</v>
      </c>
      <c r="J21" s="2" t="n">
        <v>5</v>
      </c>
      <c r="K21" s="2" t="n">
        <v>5</v>
      </c>
      <c r="L21" s="2" t="n">
        <v>5</v>
      </c>
      <c r="M21" s="2" t="s">
        <v>95</v>
      </c>
    </row>
    <row r="22" customFormat="false" ht="39.55" hidden="false" customHeight="false" outlineLevel="0" collapsed="false">
      <c r="A22" s="1" t="s">
        <v>96</v>
      </c>
      <c r="B22" s="1" t="s">
        <v>97</v>
      </c>
      <c r="C22" s="1" t="s">
        <v>98</v>
      </c>
      <c r="D22" s="1" t="s">
        <v>97</v>
      </c>
      <c r="E22" s="2" t="n">
        <v>1</v>
      </c>
      <c r="F22" s="2" t="n">
        <v>1</v>
      </c>
      <c r="G22" s="2" t="n">
        <v>3</v>
      </c>
      <c r="H22" s="2" t="n">
        <v>3</v>
      </c>
      <c r="I22" s="2" t="n">
        <v>5</v>
      </c>
      <c r="J22" s="2" t="n">
        <v>5</v>
      </c>
      <c r="K22" s="2" t="n">
        <v>5</v>
      </c>
      <c r="L22" s="2" t="n">
        <v>5</v>
      </c>
      <c r="M22" s="2" t="s">
        <v>99</v>
      </c>
    </row>
    <row r="23" customFormat="false" ht="64.9" hidden="false" customHeight="false" outlineLevel="0" collapsed="false">
      <c r="A23" s="1" t="s">
        <v>100</v>
      </c>
      <c r="B23" s="1" t="s">
        <v>101</v>
      </c>
      <c r="C23" s="1" t="s">
        <v>102</v>
      </c>
      <c r="D23" s="1" t="s">
        <v>101</v>
      </c>
      <c r="E23" s="2" t="n">
        <v>1</v>
      </c>
      <c r="F23" s="2" t="n">
        <v>3</v>
      </c>
      <c r="G23" s="2" t="n">
        <v>2</v>
      </c>
      <c r="H23" s="2" t="n">
        <v>1</v>
      </c>
      <c r="I23" s="2" t="n">
        <v>5</v>
      </c>
      <c r="J23" s="2" t="n">
        <v>5</v>
      </c>
      <c r="K23" s="2" t="n">
        <v>5</v>
      </c>
      <c r="L23" s="2" t="n">
        <v>5</v>
      </c>
      <c r="M23" s="2" t="s">
        <v>103</v>
      </c>
    </row>
    <row r="24" customFormat="false" ht="166.4" hidden="false" customHeight="false" outlineLevel="0" collapsed="false">
      <c r="A24" s="1" t="s">
        <v>104</v>
      </c>
      <c r="B24" s="1" t="s">
        <v>105</v>
      </c>
      <c r="C24" s="1" t="s">
        <v>106</v>
      </c>
      <c r="D24" s="1" t="s">
        <v>105</v>
      </c>
      <c r="E24" s="2" t="n">
        <v>1</v>
      </c>
      <c r="F24" s="2" t="n">
        <v>3</v>
      </c>
      <c r="G24" s="2" t="n">
        <v>3</v>
      </c>
      <c r="H24" s="2" t="n">
        <v>1</v>
      </c>
      <c r="I24" s="2" t="n">
        <v>5</v>
      </c>
      <c r="J24" s="2" t="n">
        <v>5</v>
      </c>
      <c r="K24" s="2" t="n">
        <v>5</v>
      </c>
      <c r="L24" s="2" t="n">
        <v>5</v>
      </c>
      <c r="M24" s="2" t="s">
        <v>107</v>
      </c>
    </row>
    <row r="25" customFormat="false" ht="26.85" hidden="false" customHeight="false" outlineLevel="0" collapsed="false">
      <c r="A25" s="1" t="s">
        <v>108</v>
      </c>
      <c r="B25" s="1" t="s">
        <v>109</v>
      </c>
      <c r="C25" s="1" t="s">
        <v>110</v>
      </c>
      <c r="D25" s="1" t="s">
        <v>109</v>
      </c>
      <c r="E25" s="2" t="n">
        <v>2</v>
      </c>
      <c r="F25" s="2" t="n">
        <v>2</v>
      </c>
      <c r="G25" s="2" t="n">
        <v>1</v>
      </c>
      <c r="H25" s="2" t="n">
        <v>2</v>
      </c>
      <c r="I25" s="2" t="n">
        <v>5</v>
      </c>
      <c r="J25" s="2" t="n">
        <v>5</v>
      </c>
      <c r="K25" s="2" t="n">
        <v>5</v>
      </c>
      <c r="L25" s="2" t="n">
        <v>5</v>
      </c>
      <c r="M25" s="2" t="s">
        <v>111</v>
      </c>
    </row>
    <row r="26" customFormat="false" ht="102.95" hidden="false" customHeight="false" outlineLevel="0" collapsed="false">
      <c r="A26" s="1" t="s">
        <v>112</v>
      </c>
      <c r="B26" s="1" t="s">
        <v>113</v>
      </c>
      <c r="C26" s="1" t="s">
        <v>114</v>
      </c>
      <c r="D26" s="1" t="s">
        <v>113</v>
      </c>
      <c r="E26" s="2" t="n">
        <v>1</v>
      </c>
      <c r="F26" s="2" t="n">
        <v>2</v>
      </c>
      <c r="G26" s="2" t="n">
        <v>3</v>
      </c>
      <c r="H26" s="2" t="n">
        <v>2</v>
      </c>
      <c r="I26" s="2" t="n">
        <v>5</v>
      </c>
      <c r="J26" s="2" t="n">
        <v>5</v>
      </c>
      <c r="K26" s="2" t="n">
        <v>5</v>
      </c>
      <c r="L26" s="2" t="n">
        <v>5</v>
      </c>
      <c r="M26" s="2" t="s">
        <v>115</v>
      </c>
    </row>
    <row r="27" customFormat="false" ht="64.9" hidden="false" customHeight="false" outlineLevel="0" collapsed="false">
      <c r="A27" s="1" t="s">
        <v>116</v>
      </c>
      <c r="B27" s="1" t="s">
        <v>117</v>
      </c>
      <c r="C27" s="1" t="s">
        <v>118</v>
      </c>
      <c r="D27" s="1" t="s">
        <v>119</v>
      </c>
      <c r="E27" s="2" t="n">
        <v>1</v>
      </c>
      <c r="F27" s="2" t="n">
        <v>4</v>
      </c>
      <c r="G27" s="2" t="n">
        <v>3</v>
      </c>
      <c r="H27" s="2" t="n">
        <v>2</v>
      </c>
      <c r="I27" s="2" t="n">
        <v>1</v>
      </c>
      <c r="J27" s="2" t="n">
        <v>4</v>
      </c>
      <c r="K27" s="2" t="n">
        <v>3</v>
      </c>
      <c r="L27" s="2" t="n">
        <v>1</v>
      </c>
      <c r="M27" s="2" t="s">
        <v>120</v>
      </c>
    </row>
    <row r="28" customFormat="false" ht="26.85" hidden="false" customHeight="false" outlineLevel="0" collapsed="false">
      <c r="A28" s="1" t="s">
        <v>121</v>
      </c>
      <c r="B28" s="1" t="s">
        <v>122</v>
      </c>
      <c r="C28" s="1" t="s">
        <v>123</v>
      </c>
      <c r="D28" s="1" t="s">
        <v>122</v>
      </c>
      <c r="E28" s="2" t="n">
        <v>2</v>
      </c>
      <c r="F28" s="2" t="n">
        <v>2</v>
      </c>
      <c r="G28" s="2" t="n">
        <v>1</v>
      </c>
      <c r="H28" s="2" t="n">
        <v>3</v>
      </c>
      <c r="I28" s="2" t="n">
        <v>5</v>
      </c>
      <c r="J28" s="2" t="n">
        <v>5</v>
      </c>
      <c r="K28" s="2" t="n">
        <v>5</v>
      </c>
      <c r="L28" s="2" t="n">
        <v>5</v>
      </c>
      <c r="M28" s="2" t="s">
        <v>124</v>
      </c>
    </row>
    <row r="29" customFormat="false" ht="26.85" hidden="false" customHeight="false" outlineLevel="0" collapsed="false">
      <c r="A29" s="1" t="s">
        <v>125</v>
      </c>
      <c r="B29" s="1" t="s">
        <v>126</v>
      </c>
      <c r="C29" s="1" t="s">
        <v>127</v>
      </c>
      <c r="D29" s="1" t="s">
        <v>126</v>
      </c>
      <c r="E29" s="2" t="n">
        <v>2</v>
      </c>
      <c r="F29" s="2" t="n">
        <v>3</v>
      </c>
      <c r="G29" s="2" t="n">
        <v>3</v>
      </c>
      <c r="H29" s="2" t="n">
        <v>2</v>
      </c>
      <c r="I29" s="2" t="n">
        <v>5</v>
      </c>
      <c r="J29" s="2" t="n">
        <v>5</v>
      </c>
      <c r="K29" s="2" t="n">
        <v>5</v>
      </c>
      <c r="L29" s="2" t="n">
        <v>5</v>
      </c>
      <c r="M29" s="2" t="s">
        <v>128</v>
      </c>
    </row>
    <row r="30" customFormat="false" ht="115.65" hidden="false" customHeight="false" outlineLevel="0" collapsed="false">
      <c r="A30" s="1" t="s">
        <v>129</v>
      </c>
      <c r="B30" s="1" t="s">
        <v>130</v>
      </c>
      <c r="C30" s="1" t="s">
        <v>131</v>
      </c>
      <c r="D30" s="1" t="s">
        <v>130</v>
      </c>
      <c r="E30" s="2" t="n">
        <v>4</v>
      </c>
      <c r="F30" s="2" t="n">
        <v>2</v>
      </c>
      <c r="G30" s="2" t="n">
        <v>3</v>
      </c>
      <c r="H30" s="2" t="n">
        <v>4</v>
      </c>
      <c r="I30" s="2" t="n">
        <v>5</v>
      </c>
      <c r="J30" s="2" t="n">
        <v>5</v>
      </c>
      <c r="K30" s="2" t="n">
        <v>5</v>
      </c>
      <c r="L30" s="2" t="n">
        <v>5</v>
      </c>
      <c r="M30" s="2" t="s">
        <v>132</v>
      </c>
    </row>
    <row r="31" customFormat="false" ht="39.55" hidden="false" customHeight="false" outlineLevel="0" collapsed="false">
      <c r="A31" s="1" t="s">
        <v>133</v>
      </c>
      <c r="B31" s="1" t="s">
        <v>130</v>
      </c>
      <c r="C31" s="1" t="s">
        <v>134</v>
      </c>
      <c r="D31" s="1" t="s">
        <v>130</v>
      </c>
      <c r="E31" s="2" t="n">
        <v>1</v>
      </c>
      <c r="F31" s="2" t="n">
        <v>2</v>
      </c>
      <c r="G31" s="2" t="n">
        <v>4</v>
      </c>
      <c r="H31" s="2" t="n">
        <v>1</v>
      </c>
      <c r="I31" s="2" t="n">
        <v>5</v>
      </c>
      <c r="J31" s="2" t="n">
        <v>5</v>
      </c>
      <c r="K31" s="2" t="n">
        <v>5</v>
      </c>
      <c r="L31" s="2" t="n">
        <v>5</v>
      </c>
      <c r="M31" s="2" t="s">
        <v>135</v>
      </c>
    </row>
    <row r="32" customFormat="false" ht="39.55" hidden="false" customHeight="false" outlineLevel="0" collapsed="false">
      <c r="A32" s="1" t="s">
        <v>136</v>
      </c>
      <c r="B32" s="1" t="s">
        <v>130</v>
      </c>
      <c r="C32" s="1" t="s">
        <v>137</v>
      </c>
      <c r="D32" s="1" t="s">
        <v>130</v>
      </c>
      <c r="E32" s="2" t="n">
        <v>5</v>
      </c>
      <c r="F32" s="2" t="n">
        <v>2</v>
      </c>
      <c r="G32" s="2" t="n">
        <v>4</v>
      </c>
      <c r="H32" s="2" t="n">
        <v>5</v>
      </c>
      <c r="I32" s="2" t="n">
        <v>5</v>
      </c>
      <c r="J32" s="2" t="n">
        <v>5</v>
      </c>
      <c r="K32" s="2" t="n">
        <v>5</v>
      </c>
      <c r="L32" s="2" t="n">
        <v>5</v>
      </c>
      <c r="M32" s="2" t="s">
        <v>138</v>
      </c>
    </row>
    <row r="33" customFormat="false" ht="52.2" hidden="false" customHeight="false" outlineLevel="0" collapsed="false">
      <c r="A33" s="1" t="s">
        <v>139</v>
      </c>
      <c r="B33" s="1" t="s">
        <v>140</v>
      </c>
      <c r="C33" s="1" t="s">
        <v>141</v>
      </c>
      <c r="D33" s="1" t="s">
        <v>140</v>
      </c>
      <c r="E33" s="2" t="n">
        <v>1</v>
      </c>
      <c r="F33" s="2" t="n">
        <v>3</v>
      </c>
      <c r="G33" s="2" t="n">
        <v>3</v>
      </c>
      <c r="H33" s="2" t="n">
        <v>1</v>
      </c>
      <c r="I33" s="2" t="n">
        <v>5</v>
      </c>
      <c r="J33" s="2" t="n">
        <v>5</v>
      </c>
      <c r="K33" s="2" t="n">
        <v>5</v>
      </c>
      <c r="L33" s="2" t="n">
        <v>5</v>
      </c>
      <c r="M33" s="2" t="s">
        <v>142</v>
      </c>
    </row>
    <row r="34" customFormat="false" ht="52.2" hidden="false" customHeight="false" outlineLevel="0" collapsed="false">
      <c r="A34" s="1" t="s">
        <v>143</v>
      </c>
      <c r="B34" s="1" t="s">
        <v>140</v>
      </c>
      <c r="C34" s="1" t="s">
        <v>144</v>
      </c>
      <c r="D34" s="1" t="s">
        <v>140</v>
      </c>
      <c r="E34" s="2" t="n">
        <v>1</v>
      </c>
      <c r="F34" s="2" t="n">
        <v>3</v>
      </c>
      <c r="G34" s="2" t="n">
        <v>3</v>
      </c>
      <c r="H34" s="2" t="n">
        <v>1</v>
      </c>
      <c r="I34" s="2" t="n">
        <v>5</v>
      </c>
      <c r="J34" s="2" t="n">
        <v>5</v>
      </c>
      <c r="K34" s="2" t="n">
        <v>5</v>
      </c>
      <c r="L34" s="2" t="n">
        <v>5</v>
      </c>
      <c r="M34" s="2" t="s">
        <v>145</v>
      </c>
    </row>
    <row r="35" customFormat="false" ht="64.9" hidden="false" customHeight="false" outlineLevel="0" collapsed="false">
      <c r="A35" s="1" t="s">
        <v>146</v>
      </c>
      <c r="B35" s="1" t="s">
        <v>140</v>
      </c>
      <c r="C35" s="1" t="s">
        <v>147</v>
      </c>
      <c r="D35" s="1" t="s">
        <v>140</v>
      </c>
      <c r="E35" s="2" t="n">
        <v>1</v>
      </c>
      <c r="F35" s="2" t="n">
        <v>3</v>
      </c>
      <c r="G35" s="2" t="n">
        <v>3</v>
      </c>
      <c r="H35" s="2" t="n">
        <v>1</v>
      </c>
      <c r="I35" s="2" t="n">
        <v>5</v>
      </c>
      <c r="J35" s="2" t="n">
        <v>5</v>
      </c>
      <c r="K35" s="2" t="n">
        <v>5</v>
      </c>
      <c r="L35" s="2" t="n">
        <v>5</v>
      </c>
      <c r="M35" s="2" t="s">
        <v>148</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E34"/>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34"/>
    <col collapsed="false" customWidth="true" hidden="false" outlineLevel="0" max="5" min="2" style="0" width="20"/>
  </cols>
  <sheetData>
    <row r="1" customFormat="false" ht="15" hidden="false" customHeight="false" outlineLevel="0" collapsed="false">
      <c r="A1" s="3" t="s">
        <v>149</v>
      </c>
    </row>
    <row r="2" customFormat="false" ht="15" hidden="false" customHeight="false" outlineLevel="0" collapsed="false">
      <c r="A2" s="4" t="s">
        <v>150</v>
      </c>
    </row>
    <row r="4" customFormat="false" ht="15" hidden="false" customHeight="false" outlineLevel="0" collapsed="false">
      <c r="A4" s="5" t="s">
        <v>151</v>
      </c>
    </row>
    <row r="5" customFormat="false" ht="15" hidden="false" customHeight="false" outlineLevel="0" collapsed="false">
      <c r="A5" s="5" t="s">
        <v>152</v>
      </c>
      <c r="B5" s="5" t="s">
        <v>153</v>
      </c>
      <c r="C5" s="5" t="s">
        <v>154</v>
      </c>
      <c r="D5" s="5" t="s">
        <v>155</v>
      </c>
    </row>
    <row r="6" customFormat="false" ht="15" hidden="false" customHeight="false" outlineLevel="0" collapsed="false">
      <c r="A6" s="0" t="s">
        <v>156</v>
      </c>
      <c r="B6" s="6" t="n">
        <f aca="false">AVERAGE(penilaian_manual!E2:E35)</f>
        <v>1.41176470588235</v>
      </c>
      <c r="C6" s="6" t="n">
        <f aca="false">AVERAGE(penilaian_manual!I2:I35)</f>
        <v>4.67647058823529</v>
      </c>
      <c r="D6" s="6" t="n">
        <f aca="false">C6-B6</f>
        <v>3.26470588235294</v>
      </c>
    </row>
    <row r="7" customFormat="false" ht="15" hidden="false" customHeight="false" outlineLevel="0" collapsed="false">
      <c r="A7" s="0" t="s">
        <v>157</v>
      </c>
      <c r="B7" s="6" t="n">
        <f aca="false">AVERAGE(penilaian_manual!F2:F35)</f>
        <v>2.67647058823529</v>
      </c>
      <c r="C7" s="6" t="n">
        <f aca="false">AVERAGE(penilaian_manual!J2:J35)</f>
        <v>4.94117647058824</v>
      </c>
      <c r="D7" s="6" t="n">
        <f aca="false">C7-B7</f>
        <v>2.26470588235294</v>
      </c>
    </row>
    <row r="8" customFormat="false" ht="15" hidden="false" customHeight="false" outlineLevel="0" collapsed="false">
      <c r="A8" s="0" t="s">
        <v>158</v>
      </c>
      <c r="B8" s="6" t="n">
        <f aca="false">AVERAGE(penilaian_manual!G2:G35)</f>
        <v>2.70588235294118</v>
      </c>
      <c r="C8" s="6" t="n">
        <f aca="false">AVERAGE(penilaian_manual!K2:K35)</f>
        <v>4.91176470588235</v>
      </c>
      <c r="D8" s="6" t="n">
        <f aca="false">C8-B8</f>
        <v>2.20588235294118</v>
      </c>
    </row>
    <row r="9" customFormat="false" ht="15" hidden="false" customHeight="false" outlineLevel="0" collapsed="false">
      <c r="A9" s="0" t="s">
        <v>159</v>
      </c>
      <c r="B9" s="6" t="n">
        <f aca="false">AVERAGE(penilaian_manual!H2:H35)</f>
        <v>1.91176470588235</v>
      </c>
      <c r="C9" s="6" t="n">
        <f aca="false">AVERAGE(penilaian_manual!L2:L35)</f>
        <v>4.70588235294118</v>
      </c>
      <c r="D9" s="6" t="n">
        <f aca="false">C9-B9</f>
        <v>2.79411764705882</v>
      </c>
    </row>
    <row r="10" customFormat="false" ht="15" hidden="false" customHeight="false" outlineLevel="0" collapsed="false">
      <c r="A10" s="5" t="s">
        <v>160</v>
      </c>
      <c r="B10" s="7" t="n">
        <f aca="false">AVERAGE(penilaian_manual!E2:H35)</f>
        <v>2.17647058823529</v>
      </c>
      <c r="C10" s="7" t="n">
        <f aca="false">AVERAGE(penilaian_manual!I2:L35)</f>
        <v>4.80882352941176</v>
      </c>
      <c r="D10" s="7" t="n">
        <f aca="false">C10-B10</f>
        <v>2.63235294117647</v>
      </c>
    </row>
    <row r="12" customFormat="false" ht="15" hidden="false" customHeight="false" outlineLevel="0" collapsed="false">
      <c r="A12" s="5" t="s">
        <v>161</v>
      </c>
    </row>
    <row r="13" customFormat="false" ht="15" hidden="false" customHeight="false" outlineLevel="0" collapsed="false">
      <c r="A13" s="5" t="s">
        <v>162</v>
      </c>
      <c r="B13" s="5" t="s">
        <v>163</v>
      </c>
      <c r="C13" s="5" t="s">
        <v>164</v>
      </c>
      <c r="D13" s="5" t="s">
        <v>165</v>
      </c>
      <c r="E13" s="5" t="s">
        <v>155</v>
      </c>
    </row>
    <row r="14" customFormat="false" ht="15" hidden="false" customHeight="false" outlineLevel="0" collapsed="false">
      <c r="A14" s="0" t="s">
        <v>166</v>
      </c>
      <c r="B14" s="0" t="s">
        <v>167</v>
      </c>
      <c r="C14" s="6" t="n">
        <f aca="false">AVERAGE(penilaian_manual!E2:H9)</f>
        <v>1.96875</v>
      </c>
      <c r="D14" s="6" t="n">
        <f aca="false">AVERAGE(penilaian_manual!I2:L9)</f>
        <v>4.78125</v>
      </c>
      <c r="E14" s="6" t="n">
        <f aca="false">D14-C14</f>
        <v>2.8125</v>
      </c>
    </row>
    <row r="15" customFormat="false" ht="15" hidden="false" customHeight="false" outlineLevel="0" collapsed="false">
      <c r="A15" s="0" t="s">
        <v>168</v>
      </c>
      <c r="B15" s="0" t="s">
        <v>169</v>
      </c>
      <c r="C15" s="6" t="n">
        <f aca="false">AVERAGE(penilaian_manual!E10:H12)</f>
        <v>2.25</v>
      </c>
      <c r="D15" s="6" t="n">
        <f aca="false">AVERAGE(penilaian_manual!I10:L12)</f>
        <v>5</v>
      </c>
      <c r="E15" s="6" t="n">
        <f aca="false">D15-C15</f>
        <v>2.75</v>
      </c>
    </row>
    <row r="16" customFormat="false" ht="15" hidden="false" customHeight="false" outlineLevel="0" collapsed="false">
      <c r="A16" s="0" t="s">
        <v>170</v>
      </c>
      <c r="B16" s="0" t="s">
        <v>171</v>
      </c>
      <c r="C16" s="6" t="n">
        <f aca="false">AVERAGE(penilaian_manual!E13:H14)</f>
        <v>2.75</v>
      </c>
      <c r="D16" s="6" t="n">
        <f aca="false">AVERAGE(penilaian_manual!I13:L14)</f>
        <v>5</v>
      </c>
      <c r="E16" s="6" t="n">
        <f aca="false">D16-C16</f>
        <v>2.25</v>
      </c>
    </row>
    <row r="17" customFormat="false" ht="15" hidden="false" customHeight="false" outlineLevel="0" collapsed="false">
      <c r="A17" s="0" t="s">
        <v>172</v>
      </c>
      <c r="B17" s="0" t="s">
        <v>173</v>
      </c>
      <c r="C17" s="6" t="n">
        <f aca="false">AVERAGE(penilaian_manual!E15:H16)</f>
        <v>2</v>
      </c>
      <c r="D17" s="6" t="n">
        <f aca="false">AVERAGE(penilaian_manual!I15:L16)</f>
        <v>5</v>
      </c>
      <c r="E17" s="6" t="n">
        <f aca="false">D17-C17</f>
        <v>3</v>
      </c>
    </row>
    <row r="18" customFormat="false" ht="15" hidden="false" customHeight="false" outlineLevel="0" collapsed="false">
      <c r="A18" s="0" t="s">
        <v>174</v>
      </c>
      <c r="B18" s="0" t="s">
        <v>175</v>
      </c>
      <c r="C18" s="6" t="n">
        <f aca="false">AVERAGE(penilaian_manual!E17:H18)</f>
        <v>1.75</v>
      </c>
      <c r="D18" s="6" t="n">
        <f aca="false">AVERAGE(penilaian_manual!I17:L18)</f>
        <v>5</v>
      </c>
      <c r="E18" s="6" t="n">
        <f aca="false">D18-C18</f>
        <v>3.25</v>
      </c>
    </row>
    <row r="19" customFormat="false" ht="15" hidden="false" customHeight="false" outlineLevel="0" collapsed="false">
      <c r="A19" s="0" t="s">
        <v>176</v>
      </c>
      <c r="B19" s="0" t="s">
        <v>177</v>
      </c>
      <c r="C19" s="6" t="n">
        <f aca="false">AVERAGE(penilaian_manual!E19:H29)</f>
        <v>2.11363636363636</v>
      </c>
      <c r="D19" s="6" t="n">
        <f aca="false">AVERAGE(penilaian_manual!I19:L29)</f>
        <v>4.56818181818182</v>
      </c>
      <c r="E19" s="6" t="n">
        <f aca="false">D19-C19</f>
        <v>2.45454545454545</v>
      </c>
    </row>
    <row r="20" customFormat="false" ht="15" hidden="false" customHeight="false" outlineLevel="0" collapsed="false">
      <c r="A20" s="0" t="s">
        <v>178</v>
      </c>
      <c r="B20" s="0" t="s">
        <v>179</v>
      </c>
      <c r="C20" s="6" t="n">
        <f aca="false">AVERAGE(penilaian_manual!E30:H32)</f>
        <v>3.08333333333333</v>
      </c>
      <c r="D20" s="6" t="n">
        <f aca="false">AVERAGE(penilaian_manual!I30:L32)</f>
        <v>5</v>
      </c>
      <c r="E20" s="6" t="n">
        <f aca="false">D20-C20</f>
        <v>1.91666666666667</v>
      </c>
    </row>
    <row r="21" customFormat="false" ht="15" hidden="false" customHeight="false" outlineLevel="0" collapsed="false">
      <c r="A21" s="0" t="s">
        <v>180</v>
      </c>
      <c r="B21" s="0" t="s">
        <v>181</v>
      </c>
      <c r="C21" s="6" t="n">
        <f aca="false">AVERAGE(penilaian_manual!E33:H35)</f>
        <v>2</v>
      </c>
      <c r="D21" s="6" t="n">
        <f aca="false">AVERAGE(penilaian_manual!I33:L35)</f>
        <v>5</v>
      </c>
      <c r="E21" s="6" t="n">
        <f aca="false">D21-C21</f>
        <v>3</v>
      </c>
    </row>
    <row r="23" customFormat="false" ht="15" hidden="false" customHeight="false" outlineLevel="0" collapsed="false">
      <c r="A23" s="5" t="s">
        <v>182</v>
      </c>
    </row>
    <row r="24" customFormat="false" ht="15" hidden="false" customHeight="false" outlineLevel="0" collapsed="false">
      <c r="A24" s="0" t="s">
        <v>164</v>
      </c>
      <c r="B24" s="0" t="str">
        <f aca="false">COUNTIF(penilaian_manual!E2:E35,5)&amp;" dari "&amp;COUNT(penilaian_manual!E2:E35)</f>
        <v>1 dari 34</v>
      </c>
    </row>
    <row r="25" customFormat="false" ht="15" hidden="false" customHeight="false" outlineLevel="0" collapsed="false">
      <c r="A25" s="0" t="s">
        <v>165</v>
      </c>
      <c r="B25" s="0" t="str">
        <f aca="false">COUNTIF(penilaian_manual!I2:I35,5)&amp;" dari "&amp;COUNT(penilaian_manual!I2:I35)</f>
        <v>31 dari 34</v>
      </c>
    </row>
    <row r="27" customFormat="false" ht="15" hidden="false" customHeight="false" outlineLevel="0" collapsed="false">
      <c r="A27" s="5" t="s">
        <v>183</v>
      </c>
    </row>
    <row r="28" customFormat="false" ht="15" hidden="false" customHeight="false" outlineLevel="0" collapsed="false">
      <c r="A28" s="8" t="s">
        <v>184</v>
      </c>
    </row>
    <row r="29" customFormat="false" ht="15" hidden="false" customHeight="false" outlineLevel="0" collapsed="false">
      <c r="A29" s="8" t="s">
        <v>185</v>
      </c>
    </row>
    <row r="30" customFormat="false" ht="15" hidden="false" customHeight="false" outlineLevel="0" collapsed="false">
      <c r="A30" s="8" t="s">
        <v>186</v>
      </c>
    </row>
    <row r="31" customFormat="false" ht="15" hidden="false" customHeight="false" outlineLevel="0" collapsed="false">
      <c r="A31" s="8" t="s">
        <v>187</v>
      </c>
    </row>
    <row r="32" customFormat="false" ht="15" hidden="false" customHeight="false" outlineLevel="0" collapsed="false">
      <c r="A32" s="8" t="s">
        <v>188</v>
      </c>
    </row>
    <row r="33" customFormat="false" ht="15" hidden="false" customHeight="false" outlineLevel="0" collapsed="false">
      <c r="A33" s="8" t="s">
        <v>189</v>
      </c>
    </row>
    <row r="34" customFormat="false" ht="15" hidden="false" customHeight="false" outlineLevel="0" collapsed="false">
      <c r="A34" s="8" t="s">
        <v>190</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2026-10-09T06:26:54Z</dcterms:created>
  <dc:creator>openpyxl</dc:creator>
  <dc:description/>
  <dc:language>en-US</dc:language>
  <cp:lastModifiedBy/>
  <dcterms:modified xsi:type="dcterms:W3CDTF">2026-10-09T06:26:54Z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